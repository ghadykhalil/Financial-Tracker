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ser\Desktop\Business\"/>
    </mc:Choice>
  </mc:AlternateContent>
  <xr:revisionPtr revIDLastSave="0" documentId="13_ncr:1_{5D3BF256-0798-41E2-AEB5-1FE4A2B1B39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S Shop" sheetId="7" r:id="rId1"/>
    <sheet name="Shop Profit" sheetId="8" r:id="rId2"/>
    <sheet name="Capital" sheetId="3" r:id="rId3"/>
    <sheet name="Lenovo Legion - Mostafa Mhayd" sheetId="4" r:id="rId4"/>
    <sheet name="HP Omen 16 - Manal Rifaii" sheetId="2" r:id="rId5"/>
    <sheet name="Gaming PC - Amo Hasan" sheetId="5" r:id="rId6"/>
    <sheet name="Gaming Laptop - Mohamad Khalil" sheetId="6" r:id="rId7"/>
    <sheet name="old" sheetId="1" r:id="rId8"/>
  </sheets>
  <definedNames>
    <definedName name="_xlnm._FilterDatabase" localSheetId="7" hidden="1">old!$A$1:$I$11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" l="1"/>
  <c r="B2" i="3"/>
  <c r="B17" i="7"/>
  <c r="E7" i="6"/>
  <c r="I2" i="6" s="1"/>
  <c r="I4" i="6"/>
  <c r="I4" i="4"/>
  <c r="I4" i="2"/>
  <c r="I4" i="5"/>
  <c r="E8" i="5"/>
  <c r="I2" i="5" s="1"/>
  <c r="E4" i="4"/>
  <c r="I2" i="4" s="1"/>
  <c r="E8" i="2"/>
  <c r="H2" i="2" s="1"/>
  <c r="B19" i="1"/>
  <c r="B13" i="1"/>
  <c r="F7" i="1"/>
  <c r="E7" i="1"/>
  <c r="E11" i="1"/>
  <c r="F11" i="1"/>
  <c r="E8" i="1"/>
  <c r="E6" i="1"/>
  <c r="E5" i="1"/>
  <c r="E4" i="1"/>
  <c r="E3" i="1"/>
  <c r="E2" i="1"/>
  <c r="D12" i="1"/>
  <c r="B17" i="1" s="1"/>
  <c r="B12" i="1"/>
  <c r="F6" i="1"/>
  <c r="F8" i="1"/>
  <c r="F2" i="1"/>
  <c r="F3" i="1"/>
  <c r="F4" i="1"/>
  <c r="F5" i="1"/>
  <c r="B3" i="3" l="1"/>
  <c r="H2" i="6"/>
  <c r="H2" i="5"/>
  <c r="H2" i="4"/>
  <c r="I2" i="2"/>
  <c r="B14" i="1"/>
  <c r="B15" i="1"/>
</calcChain>
</file>

<file path=xl/sharedStrings.xml><?xml version="1.0" encoding="utf-8"?>
<sst xmlns="http://schemas.openxmlformats.org/spreadsheetml/2006/main" count="169" uniqueCount="82">
  <si>
    <t>Item</t>
  </si>
  <si>
    <t>Sold for</t>
  </si>
  <si>
    <t>Wholesale</t>
  </si>
  <si>
    <t>Profit</t>
  </si>
  <si>
    <t>Macbook Air M1 2020</t>
  </si>
  <si>
    <t>Earned</t>
  </si>
  <si>
    <t>Bought by</t>
  </si>
  <si>
    <t>Aya Halloum</t>
  </si>
  <si>
    <t>Marwa Chef</t>
  </si>
  <si>
    <t>Lenovo E14</t>
  </si>
  <si>
    <t>Nashwa Soukarieh</t>
  </si>
  <si>
    <t>Dell from EMI</t>
  </si>
  <si>
    <t>Comment</t>
  </si>
  <si>
    <t>Tecno Pova 7</t>
  </si>
  <si>
    <t>Total Profit</t>
  </si>
  <si>
    <t>Toufic Soukarieh</t>
  </si>
  <si>
    <t>Initial Capital</t>
  </si>
  <si>
    <t>Actual Capital</t>
  </si>
  <si>
    <t>Total Earned</t>
  </si>
  <si>
    <t>Remaining Balance</t>
  </si>
  <si>
    <t>Hiba Soukarieh</t>
  </si>
  <si>
    <t>Lenovo Core i3 6th 8gb ram</t>
  </si>
  <si>
    <t>Estimated Total Profit</t>
  </si>
  <si>
    <t>Goose Capital</t>
  </si>
  <si>
    <t>Estimated Total ROI</t>
  </si>
  <si>
    <t>Location</t>
  </si>
  <si>
    <t>Beirut</t>
  </si>
  <si>
    <t>Sold</t>
  </si>
  <si>
    <t>Nvme 500gb+8gb ddr4</t>
  </si>
  <si>
    <t xml:space="preserve"> </t>
  </si>
  <si>
    <t>Hussein Haj</t>
  </si>
  <si>
    <t>In Hand</t>
  </si>
  <si>
    <t>HP Omen 16 gaming</t>
  </si>
  <si>
    <t>Manal Rifai</t>
  </si>
  <si>
    <t>New Capital</t>
  </si>
  <si>
    <t>Amount</t>
  </si>
  <si>
    <t>Date</t>
  </si>
  <si>
    <t>July</t>
  </si>
  <si>
    <t>August</t>
  </si>
  <si>
    <t>September</t>
  </si>
  <si>
    <t>October</t>
  </si>
  <si>
    <t>November</t>
  </si>
  <si>
    <t>December</t>
  </si>
  <si>
    <t>Break Even+1st Profit</t>
  </si>
  <si>
    <t>Total</t>
  </si>
  <si>
    <t>Only 120$ Remaining</t>
  </si>
  <si>
    <t>Received</t>
  </si>
  <si>
    <t>Mostafa Mhayd</t>
  </si>
  <si>
    <t>350 Legion</t>
  </si>
  <si>
    <t>1500 Omen</t>
  </si>
  <si>
    <t>Karem</t>
  </si>
  <si>
    <t>400 PC</t>
  </si>
  <si>
    <t>PC</t>
  </si>
  <si>
    <t>Expected Profit</t>
  </si>
  <si>
    <t>540 gaming laptop</t>
  </si>
  <si>
    <t>Mohamad Khalil</t>
  </si>
  <si>
    <t>Fakiha</t>
  </si>
  <si>
    <t>Capital</t>
  </si>
  <si>
    <t>Internet</t>
  </si>
  <si>
    <t>Desert AC</t>
  </si>
  <si>
    <t>Arma+Wejha</t>
  </si>
  <si>
    <t>Price</t>
  </si>
  <si>
    <t>Rent 1st month</t>
  </si>
  <si>
    <t>Transportation?</t>
  </si>
  <si>
    <t>????</t>
  </si>
  <si>
    <t>Amin Soukarieh</t>
  </si>
  <si>
    <t>10 computers(core i5 3th+ 8gb ddr3 ram+ 256gb ssd)+screens+mouses+keyboards+VGA+Power cables</t>
  </si>
  <si>
    <t>Tables</t>
  </si>
  <si>
    <t>2 desks from Sadek</t>
  </si>
  <si>
    <t>20 chairs</t>
  </si>
  <si>
    <t>Ps4 Controller</t>
  </si>
  <si>
    <t>Ps5</t>
  </si>
  <si>
    <t>Later</t>
  </si>
  <si>
    <t>Water Dispenser</t>
  </si>
  <si>
    <t>from home</t>
  </si>
  <si>
    <t>TV</t>
  </si>
  <si>
    <t>Fridge</t>
  </si>
  <si>
    <t>Raqwa Machine</t>
  </si>
  <si>
    <t>Switch + cables + cable management</t>
  </si>
  <si>
    <t>Switch at home but will it work?</t>
  </si>
  <si>
    <t>Shop Capital that needs to be broken even</t>
  </si>
  <si>
    <t>Shop Profit DTD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</si>
</sst>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3" borderId="0" xfId="0" applyFill="1"/>
    <xf numFmtId="0" fontId="0" fillId="4" borderId="5" xfId="0" applyFill="1" applyBorder="1"/>
    <xf numFmtId="0" fontId="0" fillId="4" borderId="1" xfId="0" applyFill="1" applyBorder="1"/>
    <xf numFmtId="0" fontId="0" fillId="4" borderId="8" xfId="0" applyFill="1" applyBorder="1"/>
    <xf numFmtId="0" fontId="0" fillId="4" borderId="6" xfId="0" applyFill="1" applyBorder="1"/>
    <xf numFmtId="0" fontId="0" fillId="4" borderId="0" xfId="0" applyFill="1"/>
    <xf numFmtId="0" fontId="0" fillId="5" borderId="1" xfId="0" applyFill="1" applyBorder="1"/>
    <xf numFmtId="0" fontId="1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0" fillId="6" borderId="1" xfId="0" applyFill="1" applyBorder="1"/>
  </cellXfs>
  <cellStyles count="1">
    <cellStyle name="Normal" xfId="0" builtinId="0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CC66-39C5-4FEA-A1EB-C2B2EA457186}">
  <dimension ref="A1:C20"/>
  <sheetViews>
    <sheetView zoomScale="175" zoomScaleNormal="175" workbookViewId="0">
      <selection activeCell="A19" sqref="A19"/>
    </sheetView>
  </sheetViews>
  <sheetFormatPr defaultRowHeight="15" x14ac:dyDescent="0.25"/>
  <cols>
    <col min="1" max="1" width="92.28515625" bestFit="1" customWidth="1"/>
    <col min="2" max="2" width="10.85546875" bestFit="1" customWidth="1"/>
    <col min="3" max="3" width="30" bestFit="1" customWidth="1"/>
  </cols>
  <sheetData>
    <row r="1" spans="1:3" x14ac:dyDescent="0.25">
      <c r="A1" s="1" t="s">
        <v>0</v>
      </c>
      <c r="B1" s="1" t="s">
        <v>61</v>
      </c>
      <c r="C1" s="1" t="s">
        <v>12</v>
      </c>
    </row>
    <row r="2" spans="1:3" x14ac:dyDescent="0.25">
      <c r="A2" s="1" t="s">
        <v>60</v>
      </c>
      <c r="B2" s="1">
        <v>80</v>
      </c>
      <c r="C2" s="1" t="s">
        <v>65</v>
      </c>
    </row>
    <row r="3" spans="1:3" x14ac:dyDescent="0.25">
      <c r="A3" s="1" t="s">
        <v>66</v>
      </c>
      <c r="B3" s="19">
        <v>1400</v>
      </c>
      <c r="C3" s="1" t="s">
        <v>63</v>
      </c>
    </row>
    <row r="4" spans="1:3" x14ac:dyDescent="0.25">
      <c r="A4" s="1" t="s">
        <v>78</v>
      </c>
      <c r="B4" s="1"/>
      <c r="C4" s="1" t="s">
        <v>79</v>
      </c>
    </row>
    <row r="5" spans="1:3" x14ac:dyDescent="0.25">
      <c r="A5" s="1" t="s">
        <v>62</v>
      </c>
      <c r="B5" s="1">
        <v>130</v>
      </c>
      <c r="C5" s="1"/>
    </row>
    <row r="6" spans="1:3" x14ac:dyDescent="0.25">
      <c r="A6" s="1" t="s">
        <v>67</v>
      </c>
      <c r="B6" s="1">
        <v>220</v>
      </c>
      <c r="C6" s="1"/>
    </row>
    <row r="7" spans="1:3" x14ac:dyDescent="0.25">
      <c r="A7" s="1" t="s">
        <v>68</v>
      </c>
      <c r="B7" s="1">
        <v>60</v>
      </c>
      <c r="C7" s="1" t="s">
        <v>63</v>
      </c>
    </row>
    <row r="8" spans="1:3" x14ac:dyDescent="0.25">
      <c r="A8" s="1" t="s">
        <v>69</v>
      </c>
      <c r="B8" s="1">
        <v>200</v>
      </c>
      <c r="C8" s="1"/>
    </row>
    <row r="9" spans="1:3" x14ac:dyDescent="0.25">
      <c r="A9" s="1" t="s">
        <v>70</v>
      </c>
      <c r="B9" s="1">
        <v>25</v>
      </c>
      <c r="C9" s="1"/>
    </row>
    <row r="10" spans="1:3" x14ac:dyDescent="0.25">
      <c r="A10" s="1" t="s">
        <v>71</v>
      </c>
      <c r="B10" s="1"/>
      <c r="C10" s="1" t="s">
        <v>72</v>
      </c>
    </row>
    <row r="11" spans="1:3" x14ac:dyDescent="0.25">
      <c r="A11" s="1" t="s">
        <v>59</v>
      </c>
      <c r="B11" s="1">
        <v>150</v>
      </c>
      <c r="C11" s="1"/>
    </row>
    <row r="12" spans="1:3" x14ac:dyDescent="0.25">
      <c r="A12" s="1" t="s">
        <v>58</v>
      </c>
      <c r="B12" s="1"/>
      <c r="C12" s="1" t="s">
        <v>72</v>
      </c>
    </row>
    <row r="13" spans="1:3" x14ac:dyDescent="0.25">
      <c r="A13" s="1" t="s">
        <v>73</v>
      </c>
      <c r="B13" s="1" t="s">
        <v>74</v>
      </c>
      <c r="C13" s="1"/>
    </row>
    <row r="14" spans="1:3" x14ac:dyDescent="0.25">
      <c r="A14" s="1" t="s">
        <v>75</v>
      </c>
      <c r="B14" s="1"/>
      <c r="C14" s="1"/>
    </row>
    <row r="15" spans="1:3" x14ac:dyDescent="0.25">
      <c r="A15" s="1" t="s">
        <v>76</v>
      </c>
      <c r="B15" s="1">
        <v>150</v>
      </c>
      <c r="C15" s="1"/>
    </row>
    <row r="16" spans="1:3" x14ac:dyDescent="0.25">
      <c r="A16" s="1" t="s">
        <v>77</v>
      </c>
      <c r="B16" s="1" t="s">
        <v>74</v>
      </c>
      <c r="C16" s="1"/>
    </row>
    <row r="17" spans="1:3" x14ac:dyDescent="0.25">
      <c r="A17" s="1" t="s">
        <v>44</v>
      </c>
      <c r="B17" s="1">
        <f>SUM(B2:B15)</f>
        <v>2415</v>
      </c>
      <c r="C17" s="1"/>
    </row>
    <row r="19" spans="1:3" x14ac:dyDescent="0.25">
      <c r="A19" t="s">
        <v>57</v>
      </c>
      <c r="B19">
        <v>1400</v>
      </c>
    </row>
    <row r="20" spans="1:3" x14ac:dyDescent="0.25">
      <c r="A2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1095-712C-4DAB-B606-0F00AD48138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0977-C2D5-4B04-BE71-0043A01A9C3A}">
  <dimension ref="A1:F7"/>
  <sheetViews>
    <sheetView tabSelected="1" zoomScale="190" zoomScaleNormal="190" workbookViewId="0">
      <selection activeCell="H6" sqref="H6"/>
    </sheetView>
  </sheetViews>
  <sheetFormatPr defaultRowHeight="15" x14ac:dyDescent="0.25"/>
  <cols>
    <col min="1" max="1" width="46.85546875" bestFit="1" customWidth="1"/>
    <col min="3" max="3" width="10.85546875" bestFit="1" customWidth="1"/>
    <col min="4" max="4" width="10.28515625" bestFit="1" customWidth="1"/>
    <col min="6" max="6" width="17.28515625" bestFit="1" customWidth="1"/>
  </cols>
  <sheetData>
    <row r="1" spans="1:6" x14ac:dyDescent="0.25">
      <c r="A1" t="s">
        <v>16</v>
      </c>
      <c r="B1">
        <v>6900</v>
      </c>
    </row>
    <row r="2" spans="1:6" x14ac:dyDescent="0.25">
      <c r="A2" t="s">
        <v>17</v>
      </c>
      <c r="B2">
        <f>B1-2790-'CS Shop'!B19</f>
        <v>2710</v>
      </c>
      <c r="C2" t="s">
        <v>49</v>
      </c>
      <c r="D2" t="s">
        <v>48</v>
      </c>
      <c r="E2" t="s">
        <v>51</v>
      </c>
      <c r="F2" t="s">
        <v>54</v>
      </c>
    </row>
    <row r="3" spans="1:6" x14ac:dyDescent="0.25">
      <c r="A3" t="s">
        <v>34</v>
      </c>
      <c r="B3">
        <f>B2+'HP Omen 16 - Manal Rifaii'!E8+'Lenovo Legion - Mostafa Mhayd'!E4+'Gaming PC - Amo Hasan'!E8+'Gaming Laptop - Mohamad Khalil'!E7</f>
        <v>3460</v>
      </c>
    </row>
    <row r="6" spans="1:6" x14ac:dyDescent="0.25">
      <c r="A6" t="s">
        <v>80</v>
      </c>
      <c r="B6">
        <f>-'CS Shop'!B19</f>
        <v>-1400</v>
      </c>
    </row>
    <row r="7" spans="1:6" x14ac:dyDescent="0.25">
      <c r="A7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A80AA-F78A-4540-A796-DC827A535D5A}">
  <dimension ref="A1:L4"/>
  <sheetViews>
    <sheetView zoomScale="235" zoomScaleNormal="235" workbookViewId="0">
      <selection activeCell="E3" sqref="E3"/>
    </sheetView>
  </sheetViews>
  <sheetFormatPr defaultRowHeight="15" x14ac:dyDescent="0.25"/>
  <cols>
    <col min="8" max="8" width="18" bestFit="1" customWidth="1"/>
    <col min="9" max="10" width="14.7109375" bestFit="1" customWidth="1"/>
  </cols>
  <sheetData>
    <row r="1" spans="1:12" x14ac:dyDescent="0.25">
      <c r="A1" s="2" t="s">
        <v>0</v>
      </c>
      <c r="B1" s="3" t="s">
        <v>2</v>
      </c>
      <c r="C1" s="3" t="s">
        <v>1</v>
      </c>
      <c r="D1" s="3"/>
      <c r="E1" s="3" t="s">
        <v>46</v>
      </c>
      <c r="F1" s="3" t="s">
        <v>35</v>
      </c>
      <c r="G1" s="3" t="s">
        <v>36</v>
      </c>
      <c r="H1" s="3" t="s">
        <v>19</v>
      </c>
      <c r="I1" s="3" t="s">
        <v>3</v>
      </c>
      <c r="J1" s="3" t="s">
        <v>6</v>
      </c>
      <c r="K1" s="7" t="s">
        <v>25</v>
      </c>
      <c r="L1" s="4" t="s">
        <v>12</v>
      </c>
    </row>
    <row r="2" spans="1:12" x14ac:dyDescent="0.25">
      <c r="A2" s="1" t="s">
        <v>32</v>
      </c>
      <c r="B2" s="1">
        <v>350</v>
      </c>
      <c r="C2" s="1">
        <v>400</v>
      </c>
      <c r="D2" s="17" t="s">
        <v>5</v>
      </c>
      <c r="E2" s="1">
        <v>250</v>
      </c>
      <c r="F2" s="1">
        <v>150</v>
      </c>
      <c r="G2" s="1" t="s">
        <v>37</v>
      </c>
      <c r="H2" s="1">
        <f>C2-E4</f>
        <v>150</v>
      </c>
      <c r="I2" s="1">
        <f>E4-B2</f>
        <v>-100</v>
      </c>
      <c r="J2" s="1" t="s">
        <v>47</v>
      </c>
      <c r="K2" s="1" t="s">
        <v>26</v>
      </c>
      <c r="L2" s="1"/>
    </row>
    <row r="3" spans="1:12" x14ac:dyDescent="0.25">
      <c r="A3" s="1"/>
      <c r="B3" s="1"/>
      <c r="C3" s="1"/>
      <c r="D3" s="17"/>
      <c r="E3" s="1">
        <v>0</v>
      </c>
      <c r="F3" s="1">
        <v>150</v>
      </c>
      <c r="G3" s="16" t="s">
        <v>38</v>
      </c>
      <c r="H3" s="1"/>
      <c r="I3" s="1" t="s">
        <v>53</v>
      </c>
      <c r="J3" s="1"/>
      <c r="K3" s="1"/>
      <c r="L3" s="1"/>
    </row>
    <row r="4" spans="1:12" x14ac:dyDescent="0.25">
      <c r="E4">
        <f>SUM(E2:E3)</f>
        <v>250</v>
      </c>
      <c r="I4" s="1">
        <f>C2-B2</f>
        <v>50</v>
      </c>
    </row>
  </sheetData>
  <mergeCells count="1">
    <mergeCell ref="D2:D3"/>
  </mergeCells>
  <dataValidations count="1">
    <dataValidation type="list" allowBlank="1" showInputMessage="1" showErrorMessage="1" sqref="K1:K3" xr:uid="{1A6555ED-9FA0-45AE-91BE-21AFB0AE0570}">
      <formula1>"Beirut,Fakiha,Sold"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80BA4-0F3C-46D4-B046-59369B1DB415}">
  <dimension ref="A1:L8"/>
  <sheetViews>
    <sheetView zoomScale="187" workbookViewId="0">
      <selection activeCell="E3" sqref="E3"/>
    </sheetView>
  </sheetViews>
  <sheetFormatPr defaultRowHeight="15" x14ac:dyDescent="0.25"/>
  <cols>
    <col min="1" max="1" width="19.85546875" bestFit="1" customWidth="1"/>
    <col min="2" max="2" width="10.42578125" bestFit="1" customWidth="1"/>
    <col min="3" max="3" width="7.85546875" bestFit="1" customWidth="1"/>
    <col min="4" max="4" width="5.42578125" bestFit="1" customWidth="1"/>
    <col min="7" max="7" width="10.85546875" bestFit="1" customWidth="1"/>
    <col min="8" max="8" width="20" bestFit="1" customWidth="1"/>
    <col min="9" max="9" width="14.7109375" bestFit="1" customWidth="1"/>
    <col min="10" max="10" width="12.140625" bestFit="1" customWidth="1"/>
    <col min="12" max="12" width="27.140625" bestFit="1" customWidth="1"/>
  </cols>
  <sheetData>
    <row r="1" spans="1:12" x14ac:dyDescent="0.25">
      <c r="A1" s="2" t="s">
        <v>0</v>
      </c>
      <c r="B1" s="3" t="s">
        <v>2</v>
      </c>
      <c r="C1" s="3" t="s">
        <v>1</v>
      </c>
      <c r="D1" s="3"/>
      <c r="E1" s="3" t="s">
        <v>46</v>
      </c>
      <c r="F1" s="3" t="s">
        <v>35</v>
      </c>
      <c r="G1" s="3" t="s">
        <v>36</v>
      </c>
      <c r="H1" s="3" t="s">
        <v>19</v>
      </c>
      <c r="I1" s="3" t="s">
        <v>3</v>
      </c>
      <c r="J1" s="3" t="s">
        <v>6</v>
      </c>
      <c r="K1" s="7" t="s">
        <v>25</v>
      </c>
      <c r="L1" s="4" t="s">
        <v>12</v>
      </c>
    </row>
    <row r="2" spans="1:12" x14ac:dyDescent="0.25">
      <c r="A2" s="1" t="s">
        <v>32</v>
      </c>
      <c r="B2" s="1">
        <v>1500</v>
      </c>
      <c r="C2" s="1">
        <v>1920</v>
      </c>
      <c r="D2" s="18" t="s">
        <v>5</v>
      </c>
      <c r="E2" s="1">
        <v>500</v>
      </c>
      <c r="F2" s="1">
        <v>500</v>
      </c>
      <c r="G2" s="1" t="s">
        <v>37</v>
      </c>
      <c r="H2" s="1">
        <f>C2-E8</f>
        <v>1420</v>
      </c>
      <c r="I2" s="1">
        <f>E8-B2</f>
        <v>-1000</v>
      </c>
      <c r="J2" s="1" t="s">
        <v>33</v>
      </c>
      <c r="K2" s="1" t="s">
        <v>26</v>
      </c>
      <c r="L2" s="1"/>
    </row>
    <row r="3" spans="1:12" x14ac:dyDescent="0.25">
      <c r="A3" s="1"/>
      <c r="B3" s="1"/>
      <c r="C3" s="1"/>
      <c r="D3" s="18"/>
      <c r="E3" s="1">
        <v>0</v>
      </c>
      <c r="F3" s="1">
        <v>300</v>
      </c>
      <c r="G3" s="1" t="s">
        <v>38</v>
      </c>
      <c r="H3" s="1"/>
      <c r="I3" s="1" t="s">
        <v>53</v>
      </c>
      <c r="J3" s="1"/>
      <c r="K3" s="1"/>
      <c r="L3" s="1"/>
    </row>
    <row r="4" spans="1:12" x14ac:dyDescent="0.25">
      <c r="A4" s="1"/>
      <c r="B4" s="1"/>
      <c r="C4" s="1"/>
      <c r="D4" s="18"/>
      <c r="E4" s="1">
        <v>0</v>
      </c>
      <c r="F4" s="1">
        <v>300</v>
      </c>
      <c r="G4" s="1" t="s">
        <v>39</v>
      </c>
      <c r="H4" s="1"/>
      <c r="I4" s="1">
        <f>C2-B2</f>
        <v>420</v>
      </c>
      <c r="J4" s="1"/>
      <c r="K4" s="1"/>
      <c r="L4" s="1"/>
    </row>
    <row r="5" spans="1:12" x14ac:dyDescent="0.25">
      <c r="A5" s="1"/>
      <c r="B5" s="1"/>
      <c r="C5" s="1"/>
      <c r="D5" s="18"/>
      <c r="E5" s="1">
        <v>0</v>
      </c>
      <c r="F5" s="1">
        <v>300</v>
      </c>
      <c r="G5" s="1" t="s">
        <v>40</v>
      </c>
      <c r="H5" s="1" t="s">
        <v>45</v>
      </c>
      <c r="I5" s="1"/>
      <c r="J5" s="1"/>
      <c r="K5" s="1"/>
      <c r="L5" s="1"/>
    </row>
    <row r="6" spans="1:12" x14ac:dyDescent="0.25">
      <c r="A6" s="1"/>
      <c r="B6" s="1"/>
      <c r="C6" s="1"/>
      <c r="D6" s="18"/>
      <c r="E6" s="1">
        <v>0</v>
      </c>
      <c r="F6" s="1">
        <v>300</v>
      </c>
      <c r="G6" s="16" t="s">
        <v>41</v>
      </c>
      <c r="H6" s="1" t="s">
        <v>43</v>
      </c>
      <c r="I6" s="1"/>
      <c r="J6" s="1"/>
      <c r="K6" s="1"/>
      <c r="L6" s="1"/>
    </row>
    <row r="7" spans="1:12" x14ac:dyDescent="0.25">
      <c r="A7" s="1"/>
      <c r="B7" s="1"/>
      <c r="C7" s="1"/>
      <c r="D7" s="18"/>
      <c r="E7" s="1">
        <v>0</v>
      </c>
      <c r="F7" s="1">
        <v>220</v>
      </c>
      <c r="G7" s="1" t="s">
        <v>42</v>
      </c>
      <c r="H7" s="1"/>
      <c r="I7" s="1"/>
      <c r="J7" s="1"/>
      <c r="K7" s="1"/>
      <c r="L7" s="1"/>
    </row>
    <row r="8" spans="1:12" x14ac:dyDescent="0.25">
      <c r="D8" t="s">
        <v>44</v>
      </c>
      <c r="E8">
        <f>SUM(E2:E7)</f>
        <v>500</v>
      </c>
    </row>
  </sheetData>
  <mergeCells count="1">
    <mergeCell ref="D2:D7"/>
  </mergeCells>
  <dataValidations disablePrompts="1" count="1">
    <dataValidation type="list" allowBlank="1" showInputMessage="1" showErrorMessage="1" sqref="K1:K3" xr:uid="{FE0F2EC6-4462-49E4-B1FF-17B01F4EF887}">
      <formula1>"Beirut,Fakiha,Sold"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2B30-5D25-4F97-9CEC-E65A319E2534}">
  <dimension ref="A1:L8"/>
  <sheetViews>
    <sheetView zoomScale="235" zoomScaleNormal="235" workbookViewId="0">
      <selection activeCell="E2" sqref="E2"/>
    </sheetView>
  </sheetViews>
  <sheetFormatPr defaultRowHeight="15" x14ac:dyDescent="0.25"/>
  <cols>
    <col min="6" max="6" width="8.140625" bestFit="1" customWidth="1"/>
    <col min="7" max="7" width="10.85546875" bestFit="1" customWidth="1"/>
    <col min="8" max="8" width="20" bestFit="1" customWidth="1"/>
    <col min="9" max="9" width="14.7109375" bestFit="1" customWidth="1"/>
    <col min="10" max="10" width="10.85546875" bestFit="1" customWidth="1"/>
  </cols>
  <sheetData>
    <row r="1" spans="1:12" x14ac:dyDescent="0.25">
      <c r="A1" s="2" t="s">
        <v>0</v>
      </c>
      <c r="B1" s="3" t="s">
        <v>2</v>
      </c>
      <c r="C1" s="3" t="s">
        <v>1</v>
      </c>
      <c r="D1" s="3"/>
      <c r="E1" s="3" t="s">
        <v>46</v>
      </c>
      <c r="F1" s="3" t="s">
        <v>35</v>
      </c>
      <c r="G1" s="3" t="s">
        <v>36</v>
      </c>
      <c r="H1" s="3" t="s">
        <v>19</v>
      </c>
      <c r="I1" s="3" t="s">
        <v>3</v>
      </c>
      <c r="J1" s="3" t="s">
        <v>6</v>
      </c>
      <c r="K1" s="7" t="s">
        <v>25</v>
      </c>
      <c r="L1" s="4" t="s">
        <v>12</v>
      </c>
    </row>
    <row r="2" spans="1:12" x14ac:dyDescent="0.25">
      <c r="A2" s="1" t="s">
        <v>52</v>
      </c>
      <c r="B2" s="1">
        <v>400</v>
      </c>
      <c r="C2" s="1">
        <v>575</v>
      </c>
      <c r="D2" s="18" t="s">
        <v>5</v>
      </c>
      <c r="E2" s="1">
        <v>0</v>
      </c>
      <c r="F2" s="1">
        <v>100</v>
      </c>
      <c r="G2" s="1" t="s">
        <v>37</v>
      </c>
      <c r="H2" s="1">
        <f>C2-E8</f>
        <v>575</v>
      </c>
      <c r="I2" s="1">
        <f>E8-B2</f>
        <v>-400</v>
      </c>
      <c r="J2" s="1" t="s">
        <v>50</v>
      </c>
      <c r="K2" s="1" t="s">
        <v>26</v>
      </c>
      <c r="L2" s="1"/>
    </row>
    <row r="3" spans="1:12" x14ac:dyDescent="0.25">
      <c r="A3" s="1"/>
      <c r="B3" s="1"/>
      <c r="C3" s="1"/>
      <c r="D3" s="18"/>
      <c r="E3" s="1">
        <v>0</v>
      </c>
      <c r="F3" s="1">
        <v>100</v>
      </c>
      <c r="G3" s="1" t="s">
        <v>38</v>
      </c>
      <c r="H3" s="1"/>
      <c r="I3" s="1" t="s">
        <v>53</v>
      </c>
      <c r="J3" s="1"/>
      <c r="K3" s="1"/>
      <c r="L3" s="1"/>
    </row>
    <row r="4" spans="1:12" x14ac:dyDescent="0.25">
      <c r="A4" s="1"/>
      <c r="B4" s="1"/>
      <c r="C4" s="1"/>
      <c r="D4" s="18"/>
      <c r="E4" s="1">
        <v>0</v>
      </c>
      <c r="F4" s="1">
        <v>100</v>
      </c>
      <c r="G4" s="1" t="s">
        <v>39</v>
      </c>
      <c r="H4" s="1"/>
      <c r="I4" s="1">
        <f>C2-B2</f>
        <v>175</v>
      </c>
      <c r="J4" s="1"/>
      <c r="K4" s="1"/>
      <c r="L4" s="1"/>
    </row>
    <row r="5" spans="1:12" x14ac:dyDescent="0.25">
      <c r="A5" s="1"/>
      <c r="B5" s="1"/>
      <c r="C5" s="1"/>
      <c r="D5" s="18"/>
      <c r="E5" s="1">
        <v>0</v>
      </c>
      <c r="F5" s="1">
        <v>100</v>
      </c>
      <c r="G5" s="1" t="s">
        <v>40</v>
      </c>
      <c r="H5" s="1"/>
      <c r="I5" s="1"/>
      <c r="J5" s="1"/>
      <c r="K5" s="1"/>
      <c r="L5" s="1"/>
    </row>
    <row r="6" spans="1:12" x14ac:dyDescent="0.25">
      <c r="A6" s="1"/>
      <c r="B6" s="1"/>
      <c r="C6" s="1"/>
      <c r="D6" s="18"/>
      <c r="E6" s="1">
        <v>0</v>
      </c>
      <c r="F6" s="1">
        <v>100</v>
      </c>
      <c r="G6" s="16" t="s">
        <v>41</v>
      </c>
      <c r="H6" s="1" t="s">
        <v>43</v>
      </c>
      <c r="I6" s="1"/>
      <c r="J6" s="1"/>
      <c r="K6" s="1"/>
      <c r="L6" s="1"/>
    </row>
    <row r="7" spans="1:12" x14ac:dyDescent="0.25">
      <c r="A7" s="1"/>
      <c r="B7" s="1"/>
      <c r="C7" s="1"/>
      <c r="D7" s="18"/>
      <c r="E7" s="1">
        <v>0</v>
      </c>
      <c r="F7" s="1">
        <v>75</v>
      </c>
      <c r="G7" s="1" t="s">
        <v>42</v>
      </c>
      <c r="H7" s="1"/>
      <c r="I7" s="1"/>
      <c r="J7" s="1"/>
      <c r="K7" s="1"/>
      <c r="L7" s="1"/>
    </row>
    <row r="8" spans="1:12" x14ac:dyDescent="0.25">
      <c r="D8" t="s">
        <v>44</v>
      </c>
      <c r="E8">
        <f>SUM(E2:E7)</f>
        <v>0</v>
      </c>
    </row>
  </sheetData>
  <mergeCells count="1">
    <mergeCell ref="D2:D7"/>
  </mergeCells>
  <dataValidations count="1">
    <dataValidation type="list" allowBlank="1" showInputMessage="1" showErrorMessage="1" sqref="K1:K3" xr:uid="{84B79036-9E2A-4116-A0F2-09ED393B5931}">
      <formula1>"Beirut,Fakiha,Sold"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D562-3838-41C9-A1CB-6B46AFA83129}">
  <dimension ref="A1:L7"/>
  <sheetViews>
    <sheetView zoomScale="205" zoomScaleNormal="205" workbookViewId="0">
      <selection activeCell="E2" sqref="E2"/>
    </sheetView>
  </sheetViews>
  <sheetFormatPr defaultRowHeight="15" x14ac:dyDescent="0.25"/>
  <sheetData>
    <row r="1" spans="1:12" x14ac:dyDescent="0.25">
      <c r="A1" s="2" t="s">
        <v>0</v>
      </c>
      <c r="B1" s="3" t="s">
        <v>2</v>
      </c>
      <c r="C1" s="3" t="s">
        <v>1</v>
      </c>
      <c r="D1" s="3"/>
      <c r="E1" s="3" t="s">
        <v>46</v>
      </c>
      <c r="F1" s="3" t="s">
        <v>35</v>
      </c>
      <c r="G1" s="3" t="s">
        <v>36</v>
      </c>
      <c r="H1" s="3" t="s">
        <v>19</v>
      </c>
      <c r="I1" s="3" t="s">
        <v>3</v>
      </c>
      <c r="J1" s="3" t="s">
        <v>6</v>
      </c>
      <c r="K1" s="7" t="s">
        <v>25</v>
      </c>
      <c r="L1" s="4" t="s">
        <v>12</v>
      </c>
    </row>
    <row r="2" spans="1:12" x14ac:dyDescent="0.25">
      <c r="A2" s="1" t="s">
        <v>52</v>
      </c>
      <c r="B2" s="1">
        <v>540</v>
      </c>
      <c r="C2" s="1">
        <v>740</v>
      </c>
      <c r="D2" s="18" t="s">
        <v>5</v>
      </c>
      <c r="E2" s="1">
        <v>0</v>
      </c>
      <c r="F2" s="1">
        <v>190</v>
      </c>
      <c r="G2" s="1" t="s">
        <v>37</v>
      </c>
      <c r="H2" s="1">
        <f>C2-E7</f>
        <v>740</v>
      </c>
      <c r="I2" s="1">
        <f>E7-B2</f>
        <v>-540</v>
      </c>
      <c r="J2" s="1" t="s">
        <v>55</v>
      </c>
      <c r="K2" s="1" t="s">
        <v>56</v>
      </c>
      <c r="L2" s="1"/>
    </row>
    <row r="3" spans="1:12" x14ac:dyDescent="0.25">
      <c r="A3" s="1"/>
      <c r="B3" s="1"/>
      <c r="C3" s="1"/>
      <c r="D3" s="18"/>
      <c r="E3" s="1">
        <v>0</v>
      </c>
      <c r="F3" s="1">
        <v>150</v>
      </c>
      <c r="G3" s="1" t="s">
        <v>38</v>
      </c>
      <c r="H3" s="1"/>
      <c r="I3" s="1" t="s">
        <v>53</v>
      </c>
      <c r="J3" s="1"/>
      <c r="K3" s="1"/>
      <c r="L3" s="1"/>
    </row>
    <row r="4" spans="1:12" x14ac:dyDescent="0.25">
      <c r="A4" s="1"/>
      <c r="B4" s="1"/>
      <c r="C4" s="1"/>
      <c r="D4" s="18"/>
      <c r="E4" s="1">
        <v>0</v>
      </c>
      <c r="F4" s="1">
        <v>150</v>
      </c>
      <c r="G4" s="1" t="s">
        <v>39</v>
      </c>
      <c r="H4" s="1"/>
      <c r="I4" s="1">
        <f>C2-B2</f>
        <v>200</v>
      </c>
      <c r="J4" s="1"/>
      <c r="K4" s="1"/>
      <c r="L4" s="1"/>
    </row>
    <row r="5" spans="1:12" x14ac:dyDescent="0.25">
      <c r="A5" s="1"/>
      <c r="B5" s="1"/>
      <c r="C5" s="1"/>
      <c r="D5" s="18"/>
      <c r="E5" s="1">
        <v>0</v>
      </c>
      <c r="F5" s="1">
        <v>150</v>
      </c>
      <c r="G5" s="1" t="s">
        <v>40</v>
      </c>
      <c r="H5" s="1"/>
      <c r="I5" s="1"/>
      <c r="J5" s="1"/>
      <c r="K5" s="1"/>
      <c r="L5" s="1"/>
    </row>
    <row r="6" spans="1:12" x14ac:dyDescent="0.25">
      <c r="A6" s="1"/>
      <c r="B6" s="1"/>
      <c r="C6" s="1"/>
      <c r="D6" s="18"/>
      <c r="E6" s="1">
        <v>0</v>
      </c>
      <c r="F6" s="1">
        <v>150</v>
      </c>
      <c r="G6" s="16" t="s">
        <v>41</v>
      </c>
      <c r="H6" s="1" t="s">
        <v>43</v>
      </c>
      <c r="I6" s="1"/>
      <c r="J6" s="1"/>
      <c r="K6" s="1"/>
      <c r="L6" s="1"/>
    </row>
    <row r="7" spans="1:12" x14ac:dyDescent="0.25">
      <c r="D7" t="s">
        <v>44</v>
      </c>
      <c r="E7">
        <f>SUM(E2:E6)</f>
        <v>0</v>
      </c>
    </row>
  </sheetData>
  <mergeCells count="1">
    <mergeCell ref="D2:D6"/>
  </mergeCells>
  <dataValidations count="1">
    <dataValidation type="list" allowBlank="1" showInputMessage="1" showErrorMessage="1" sqref="K1:K3" xr:uid="{72252FE5-3AD6-4F1A-80BB-DE94DB30FFF0}">
      <formula1>"Beirut,Fakiha,Sold"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zoomScale="145" zoomScaleNormal="145" workbookViewId="0">
      <selection activeCell="B13" sqref="B13"/>
    </sheetView>
  </sheetViews>
  <sheetFormatPr defaultRowHeight="15" x14ac:dyDescent="0.25"/>
  <cols>
    <col min="1" max="1" width="37.140625" bestFit="1" customWidth="1"/>
    <col min="2" max="2" width="10.42578125" bestFit="1" customWidth="1"/>
    <col min="3" max="3" width="12" bestFit="1" customWidth="1"/>
    <col min="4" max="4" width="10.85546875" bestFit="1" customWidth="1"/>
    <col min="5" max="5" width="20.28515625" bestFit="1" customWidth="1"/>
    <col min="7" max="7" width="17.5703125" bestFit="1" customWidth="1"/>
    <col min="8" max="8" width="17.5703125" customWidth="1"/>
    <col min="9" max="9" width="20.85546875" bestFit="1" customWidth="1"/>
  </cols>
  <sheetData>
    <row r="1" spans="1:9" x14ac:dyDescent="0.25">
      <c r="A1" s="2" t="s">
        <v>0</v>
      </c>
      <c r="B1" s="3" t="s">
        <v>2</v>
      </c>
      <c r="C1" s="3" t="s">
        <v>1</v>
      </c>
      <c r="D1" s="3" t="s">
        <v>5</v>
      </c>
      <c r="E1" s="3" t="s">
        <v>19</v>
      </c>
      <c r="F1" s="3" t="s">
        <v>3</v>
      </c>
      <c r="G1" s="3" t="s">
        <v>6</v>
      </c>
      <c r="H1" s="7" t="s">
        <v>25</v>
      </c>
      <c r="I1" s="4" t="s">
        <v>12</v>
      </c>
    </row>
    <row r="2" spans="1:9" s="15" customFormat="1" x14ac:dyDescent="0.25">
      <c r="A2" s="11" t="s">
        <v>4</v>
      </c>
      <c r="B2" s="12">
        <v>465</v>
      </c>
      <c r="C2" s="12">
        <v>625</v>
      </c>
      <c r="D2" s="12">
        <v>625</v>
      </c>
      <c r="E2" s="12">
        <f>C2-D2</f>
        <v>0</v>
      </c>
      <c r="F2" s="12">
        <f t="shared" ref="F2:F11" si="0">D2-B2</f>
        <v>160</v>
      </c>
      <c r="G2" s="12" t="s">
        <v>7</v>
      </c>
      <c r="H2" s="13" t="s">
        <v>27</v>
      </c>
      <c r="I2" s="14"/>
    </row>
    <row r="3" spans="1:9" x14ac:dyDescent="0.25">
      <c r="A3" s="11" t="s">
        <v>4</v>
      </c>
      <c r="B3" s="12">
        <v>465</v>
      </c>
      <c r="C3" s="12">
        <v>625</v>
      </c>
      <c r="D3" s="12">
        <v>625</v>
      </c>
      <c r="E3" s="12">
        <f t="shared" ref="E3:E11" si="1">C3-D3</f>
        <v>0</v>
      </c>
      <c r="F3" s="12">
        <f t="shared" si="0"/>
        <v>160</v>
      </c>
      <c r="G3" s="12" t="s">
        <v>8</v>
      </c>
      <c r="H3" s="13" t="s">
        <v>27</v>
      </c>
      <c r="I3" s="6"/>
    </row>
    <row r="4" spans="1:9" s="15" customFormat="1" x14ac:dyDescent="0.25">
      <c r="A4" s="11" t="s">
        <v>4</v>
      </c>
      <c r="B4" s="12">
        <v>465</v>
      </c>
      <c r="C4" s="12">
        <v>500</v>
      </c>
      <c r="D4" s="12">
        <v>500</v>
      </c>
      <c r="E4" s="12">
        <f t="shared" si="1"/>
        <v>0</v>
      </c>
      <c r="F4" s="12">
        <f t="shared" si="0"/>
        <v>35</v>
      </c>
      <c r="G4" s="12" t="s">
        <v>20</v>
      </c>
      <c r="H4" s="13" t="s">
        <v>27</v>
      </c>
      <c r="I4" s="14"/>
    </row>
    <row r="5" spans="1:9" x14ac:dyDescent="0.25">
      <c r="A5" s="5" t="s">
        <v>9</v>
      </c>
      <c r="B5" s="1">
        <v>190</v>
      </c>
      <c r="C5" s="1">
        <v>300</v>
      </c>
      <c r="D5" s="1">
        <v>250</v>
      </c>
      <c r="E5" s="1">
        <f t="shared" si="1"/>
        <v>50</v>
      </c>
      <c r="F5" s="1">
        <f t="shared" si="0"/>
        <v>60</v>
      </c>
      <c r="G5" s="1" t="s">
        <v>10</v>
      </c>
      <c r="H5" s="8" t="s">
        <v>27</v>
      </c>
      <c r="I5" s="6"/>
    </row>
    <row r="6" spans="1:9" s="15" customFormat="1" x14ac:dyDescent="0.25">
      <c r="A6" s="11" t="s">
        <v>13</v>
      </c>
      <c r="B6" s="12">
        <v>162</v>
      </c>
      <c r="C6" s="12">
        <v>225</v>
      </c>
      <c r="D6" s="12">
        <v>225</v>
      </c>
      <c r="E6" s="12">
        <f t="shared" si="1"/>
        <v>0</v>
      </c>
      <c r="F6" s="12">
        <f t="shared" si="0"/>
        <v>63</v>
      </c>
      <c r="G6" s="12" t="s">
        <v>15</v>
      </c>
      <c r="H6" s="13" t="s">
        <v>27</v>
      </c>
      <c r="I6" s="14"/>
    </row>
    <row r="7" spans="1:9" x14ac:dyDescent="0.25">
      <c r="A7" s="11" t="s">
        <v>21</v>
      </c>
      <c r="B7" s="12">
        <v>0</v>
      </c>
      <c r="C7" s="12">
        <v>50</v>
      </c>
      <c r="D7" s="12">
        <v>50</v>
      </c>
      <c r="E7" s="12">
        <f t="shared" si="1"/>
        <v>0</v>
      </c>
      <c r="F7" s="12">
        <f t="shared" si="0"/>
        <v>50</v>
      </c>
      <c r="G7" s="12" t="s">
        <v>30</v>
      </c>
      <c r="H7" s="13" t="s">
        <v>27</v>
      </c>
      <c r="I7" s="6"/>
    </row>
    <row r="8" spans="1:9" x14ac:dyDescent="0.25">
      <c r="A8" s="11" t="s">
        <v>11</v>
      </c>
      <c r="B8" s="12">
        <v>0</v>
      </c>
      <c r="C8" s="12">
        <v>100</v>
      </c>
      <c r="D8" s="12">
        <v>100</v>
      </c>
      <c r="E8" s="12">
        <f t="shared" si="1"/>
        <v>0</v>
      </c>
      <c r="F8" s="12">
        <f t="shared" si="0"/>
        <v>100</v>
      </c>
      <c r="G8" s="12" t="s">
        <v>30</v>
      </c>
      <c r="H8" s="13" t="s">
        <v>27</v>
      </c>
      <c r="I8" s="6"/>
    </row>
    <row r="9" spans="1:9" x14ac:dyDescent="0.25">
      <c r="A9" s="11"/>
      <c r="B9" s="12"/>
      <c r="C9" s="12"/>
      <c r="D9" s="12"/>
      <c r="E9" s="12"/>
      <c r="F9" s="12"/>
      <c r="G9" s="12"/>
      <c r="H9" s="13"/>
      <c r="I9" s="6"/>
    </row>
    <row r="10" spans="1:9" x14ac:dyDescent="0.25">
      <c r="A10" s="11"/>
      <c r="B10" s="12"/>
      <c r="C10" s="12"/>
      <c r="D10" s="12"/>
      <c r="E10" s="12"/>
      <c r="F10" s="12"/>
      <c r="G10" s="12"/>
      <c r="H10" s="13"/>
      <c r="I10" s="6"/>
    </row>
    <row r="11" spans="1:9" x14ac:dyDescent="0.25">
      <c r="A11" s="5" t="s">
        <v>28</v>
      </c>
      <c r="B11" s="1">
        <v>0</v>
      </c>
      <c r="C11" s="1"/>
      <c r="D11" s="1"/>
      <c r="E11" s="1">
        <f t="shared" si="1"/>
        <v>0</v>
      </c>
      <c r="F11" s="1">
        <f t="shared" si="0"/>
        <v>0</v>
      </c>
      <c r="G11" s="1"/>
      <c r="H11" s="8" t="s">
        <v>26</v>
      </c>
      <c r="I11" s="6"/>
    </row>
    <row r="12" spans="1:9" x14ac:dyDescent="0.25">
      <c r="A12" t="s">
        <v>16</v>
      </c>
      <c r="B12">
        <f>SUM(B2:B6)</f>
        <v>1747</v>
      </c>
      <c r="C12" t="s">
        <v>18</v>
      </c>
      <c r="D12">
        <f>SUM(D2:D11)</f>
        <v>2375</v>
      </c>
    </row>
    <row r="13" spans="1:9" x14ac:dyDescent="0.25">
      <c r="A13" t="s">
        <v>24</v>
      </c>
      <c r="B13">
        <f>SUM(C2:C8)</f>
        <v>2425</v>
      </c>
      <c r="E13" t="s">
        <v>29</v>
      </c>
    </row>
    <row r="14" spans="1:9" x14ac:dyDescent="0.25">
      <c r="A14" t="s">
        <v>22</v>
      </c>
      <c r="B14">
        <f>B13-B12</f>
        <v>678</v>
      </c>
    </row>
    <row r="15" spans="1:9" x14ac:dyDescent="0.25">
      <c r="A15" t="s">
        <v>14</v>
      </c>
      <c r="B15">
        <f>SUM(F2:F11)</f>
        <v>628</v>
      </c>
    </row>
    <row r="16" spans="1:9" x14ac:dyDescent="0.25">
      <c r="A16" s="9" t="s">
        <v>23</v>
      </c>
      <c r="B16" s="9">
        <v>5625</v>
      </c>
    </row>
    <row r="17" spans="1:2" x14ac:dyDescent="0.25">
      <c r="A17" s="10" t="s">
        <v>17</v>
      </c>
      <c r="B17" s="10">
        <f>B16+D12</f>
        <v>8000</v>
      </c>
    </row>
    <row r="18" spans="1:2" x14ac:dyDescent="0.25">
      <c r="A18" s="10" t="s">
        <v>31</v>
      </c>
      <c r="B18" s="10">
        <v>7750</v>
      </c>
    </row>
    <row r="19" spans="1:2" x14ac:dyDescent="0.25">
      <c r="A19" s="10"/>
      <c r="B19" s="10">
        <f>SUM(B18+120+100+50)</f>
        <v>8020</v>
      </c>
    </row>
  </sheetData>
  <autoFilter ref="A1:I11" xr:uid="{00000000-0001-0000-0000-000000000000}">
    <sortState xmlns:xlrd2="http://schemas.microsoft.com/office/spreadsheetml/2017/richdata2" ref="A2:I11">
      <sortCondition sortBy="cellColor" ref="A1:A11" dxfId="0"/>
    </sortState>
  </autoFilter>
  <dataValidations disablePrompts="1" count="1">
    <dataValidation type="list" allowBlank="1" showInputMessage="1" showErrorMessage="1" sqref="H1:H1048576" xr:uid="{9A14FA5E-D1CA-4776-8AA5-30D02EB9AF73}">
      <formula1>"Beirut,Fakiha,Sold"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CS Shop</vt:lpstr>
      <vt:lpstr>Shop Profit</vt:lpstr>
      <vt:lpstr>Capital</vt:lpstr>
      <vt:lpstr>Lenovo Legion - Mostafa Mhayd</vt:lpstr>
      <vt:lpstr>HP Omen 16 - Manal Rifaii</vt:lpstr>
      <vt:lpstr>Gaming PC - Amo Hasan</vt:lpstr>
      <vt:lpstr>Gaming Laptop - Mohamad Khalil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Ghady</dc:creator>
  <cp:lastModifiedBy>User</cp:lastModifiedBy>
  <dcterms:created xsi:type="dcterms:W3CDTF">2015-06-05T18:17:20Z</dcterms:created>
  <dcterms:modified xsi:type="dcterms:W3CDTF">2026-07-25T17:24:05Z</dcterms:modified>
</cp:coreProperties>
</file>